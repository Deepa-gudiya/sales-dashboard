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US\OneDrive\Desktop\DataAnalytics\Sales_Performance_Dashboard\"/>
    </mc:Choice>
  </mc:AlternateContent>
  <xr:revisionPtr revIDLastSave="0" documentId="8_{85C6E37F-E68A-4942-901E-7188EE578E89}" xr6:coauthVersionLast="47" xr6:coauthVersionMax="47" xr10:uidLastSave="{00000000-0000-0000-0000-000000000000}"/>
  <bookViews>
    <workbookView xWindow="-108" yWindow="-108" windowWidth="23256" windowHeight="13896" xr2:uid="{FB9A02C8-36B2-4D97-9391-DDF775649D35}"/>
  </bookViews>
  <sheets>
    <sheet name="Sheet2" sheetId="2" r:id="rId1"/>
    <sheet name="Sheet3" sheetId="3" r:id="rId2"/>
    <sheet name="Sheet4" sheetId="4" r:id="rId3"/>
    <sheet name="Sheet7" sheetId="7" r:id="rId4"/>
    <sheet name="Sheet1" sheetId="1" r:id="rId5"/>
  </sheets>
  <definedNames>
    <definedName name="Slicer_Category1">#N/A</definedName>
    <definedName name="Slicer_Date">#N/A</definedName>
    <definedName name="Slicer_Region">#N/A</definedName>
    <definedName name="Total_Revenue">Sheet1!$J$1</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L4"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33A6CB-D4B8-4719-BABF-53A77BB9B105}"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<sst xmlns="http://schemas.openxmlformats.org/spreadsheetml/2006/main" count="154" uniqueCount="35">
  <si>
    <t>Order ID</t>
  </si>
  <si>
    <t>Date</t>
  </si>
  <si>
    <t>Product</t>
  </si>
  <si>
    <t>Category</t>
  </si>
  <si>
    <t>Region</t>
  </si>
  <si>
    <t>Quantity</t>
  </si>
  <si>
    <t>Price</t>
  </si>
  <si>
    <t>Revenue</t>
  </si>
  <si>
    <t>Laptop</t>
  </si>
  <si>
    <t>Electronics</t>
  </si>
  <si>
    <t>North</t>
  </si>
  <si>
    <t>Phone</t>
  </si>
  <si>
    <t>South</t>
  </si>
  <si>
    <t>Shirt</t>
  </si>
  <si>
    <t>Clothing</t>
  </si>
  <si>
    <t>East</t>
  </si>
  <si>
    <t>Shoes</t>
  </si>
  <si>
    <t>Footwear</t>
  </si>
  <si>
    <t>West</t>
  </si>
  <si>
    <t>Headphones</t>
  </si>
  <si>
    <t>Watch</t>
  </si>
  <si>
    <t>Accessories</t>
  </si>
  <si>
    <t>Tablet</t>
  </si>
  <si>
    <t>Jacket</t>
  </si>
  <si>
    <t>Sandals</t>
  </si>
  <si>
    <t>Bag</t>
  </si>
  <si>
    <t>Total_Revenue</t>
  </si>
  <si>
    <t>Total_Orders</t>
  </si>
  <si>
    <t>Total_Quantity</t>
  </si>
  <si>
    <t>Sum of Revenue</t>
  </si>
  <si>
    <t>Row Labels</t>
  </si>
  <si>
    <t>Grand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</si>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</sst>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[Sales_Data_Analysis_.xlsx]Sheet2!PivotTable1</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Bag</c:v>
                </c:pt>
                <c:pt idx="1">
                  <c:v>Headphones</c:v>
                </c:pt>
                <c:pt idx="2">
                  <c:v>Jacket</c:v>
                </c:pt>
                <c:pt idx="3">
                  <c:v>Laptop</c:v>
                </c:pt>
                <c:pt idx="4">
                  <c:v>Phone</c:v>
                </c:pt>
                <c:pt idx="5">
                  <c:v>Sandals</c:v>
                </c:pt>
                <c:pt idx="6">
                  <c:v>Shirt</c:v>
                </c:pt>
                <c:pt idx="7">
                  <c:v>Shoes</c:v>
                </c:pt>
                <c:pt idx="8">
                  <c:v>Tablet</c:v>
                </c:pt>
                <c:pt idx="9">
                  <c:v>Watch</c:v>
                </c:pt>
              </c:strCache>
            </c:strRef>
          </c:cat>
          <c:val>
            <c:numRef>
              <c:f>Sheet2!$B$4:$B$14</c:f>
              <c:numCache>
                <c:formatCode>General</c:formatCode>
                <c:ptCount val="10"/>
                <c:pt idx="0">
                  <c:v>12600</c:v>
                </c:pt>
                <c:pt idx="1">
                  <c:v>13500</c:v>
                </c:pt>
                <c:pt idx="2">
                  <c:v>12500</c:v>
                </c:pt>
                <c:pt idx="3">
                  <c:v>240000</c:v>
                </c:pt>
                <c:pt idx="4">
                  <c:v>180000</c:v>
                </c:pt>
                <c:pt idx="5">
                  <c:v>9600</c:v>
                </c:pt>
                <c:pt idx="6">
                  <c:v>14400</c:v>
                </c:pt>
                <c:pt idx="7">
                  <c:v>15000</c:v>
                </c:pt>
                <c:pt idx="8">
                  <c:v>120000</c:v>
                </c:pt>
                <c:pt idx="9">
                  <c:v>20000</c:v>
                </c:pt>
              </c:numCache>
            </c:numRef>
          </c:val>
          <c:extLst>
            <c:ext xmlns:c16="http://schemas.microsoft.com/office/drawing/2014/chart" uri="{C3380CC4-5D6E-409C-BE32-E72D297353CC}">
              <c16:uniqueId val="{00000000-B4CD-45EE-9951-827329E4E20F}"/>
            </c:ext>
          </c:extLst>
        </c:ser>
        <c:dLbls>
          <c:showLegendKey val="0"/>
          <c:showVal val="0"/>
          <c:showCatName val="0"/>
          <c:showSerName val="0"/>
          <c:showPercent val="0"/>
          <c:showBubbleSize val="0"/>
        </c:dLbls>
        <c:gapWidth val="219"/>
        <c:axId val="1733595615"/>
        <c:axId val="1733590815"/>
      </c:barChart>
      <c:catAx>
        <c:axId val="173359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3590815"/>
        <c:crosses val="autoZero"/>
        <c:auto val="1"/>
        <c:lblAlgn val="ctr"/>
        <c:lblOffset val="100"/>
        <c:noMultiLvlLbl val="0"/>
      </c:catAx>
      <c:valAx>
        <c:axId val="1733590815"/>
        <c:scaling>
          <c:orientation val="minMax"/>
        </c:scaling>
        <c:delete val="1"/>
        <c:axPos val="l"/>
        <c:numFmt formatCode="General" sourceLinked="1"/>
        <c:majorTickMark val="out"/>
        <c:minorTickMark val="none"/>
        <c:tickLblPos val="nextTo"/>
        <c:crossAx val="17335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[Sales_Data_Analysis_.xlsx]Sheet3!PivotTable2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3.3851500984251971E-2"/>
              <c:y val="-1.26734800273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5216986376001"/>
          <c:y val="0.17119645574684214"/>
          <c:w val="0.48955229649589727"/>
          <c:h val="0.71895115839665236"/>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FD-45BB-9BE9-FC4BAA1AA8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FD-45BB-9BE9-FC4BAA1AA8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FD-45BB-9BE9-FC4BAA1AA8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FD-45BB-9BE9-FC4BAA1AA8EB}"/>
              </c:ext>
            </c:extLst>
          </c:dPt>
          <c:dLbls>
            <c:dLbl>
              <c:idx val="3"/>
              <c:layout>
                <c:manualLayout>
                  <c:x val="-3.3851500984251971E-2"/>
                  <c:y val="-1.26734800273253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FD-45BB-9BE9-FC4BAA1AA8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Sheet3!$A$4:$A$8</c:f>
              <c:strCache>
                <c:ptCount val="4"/>
                <c:pt idx="0">
                  <c:v>Accessories</c:v>
                </c:pt>
                <c:pt idx="1">
                  <c:v>Clothing</c:v>
                </c:pt>
                <c:pt idx="2">
                  <c:v>Electronics</c:v>
                </c:pt>
                <c:pt idx="3">
                  <c:v>Footwear</c:v>
                </c:pt>
              </c:strCache>
            </c:strRef>
          </c:cat>
          <c:val>
            <c:numRef>
              <c:f>Sheet3!$B$4:$B$8</c:f>
              <c:numCache>
                <c:formatCode>General</c:formatCode>
                <c:ptCount val="4"/>
                <c:pt idx="0">
                  <c:v>32600</c:v>
                </c:pt>
                <c:pt idx="1">
                  <c:v>26900</c:v>
                </c:pt>
                <c:pt idx="2">
                  <c:v>553500</c:v>
                </c:pt>
                <c:pt idx="3">
                  <c:v>24600</c:v>
                </c:pt>
              </c:numCache>
            </c:numRef>
          </c:val>
          <c:extLst>
            <c:ext xmlns:c16="http://schemas.microsoft.com/office/drawing/2014/chart" uri="{C3380CC4-5D6E-409C-BE32-E72D297353CC}">
              <c16:uniqueId val="{00000008-C5FD-45BB-9BE9-FC4BAA1AA8E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[Sales_Data_Analysis_.xlsx]Sheet4!PivotTable3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Region-Wise Sales </a:t>
            </a:r>
          </a:p>
        </c:rich>
      </c:tx>
      <c:layout>
        <c:manualLayout>
          <c:xMode val="edge"/>
          <c:yMode val="edge"/>
          <c:x val="0.20924263286554703"/>
          <c:y val="4.8103716737281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26514267691533E-2"/>
          <c:y val="0.22842777632581546"/>
          <c:w val="0.68125430667213793"/>
          <c:h val="0.6481647298307093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East</c:v>
                </c:pt>
                <c:pt idx="1">
                  <c:v>North</c:v>
                </c:pt>
                <c:pt idx="2">
                  <c:v>South</c:v>
                </c:pt>
                <c:pt idx="3">
                  <c:v>West</c:v>
                </c:pt>
              </c:strCache>
            </c:strRef>
          </c:cat>
          <c:val>
            <c:numRef>
              <c:f>Sheet4!$B$4:$B$8</c:f>
              <c:numCache>
                <c:formatCode>General</c:formatCode>
                <c:ptCount val="4"/>
                <c:pt idx="0">
                  <c:v>115500</c:v>
                </c:pt>
                <c:pt idx="1">
                  <c:v>284300</c:v>
                </c:pt>
                <c:pt idx="2">
                  <c:v>142800</c:v>
                </c:pt>
                <c:pt idx="3">
                  <c:v>95000</c:v>
                </c:pt>
              </c:numCache>
            </c:numRef>
          </c:val>
          <c:extLst>
            <c:ext xmlns:c16="http://schemas.microsoft.com/office/drawing/2014/chart" uri="{C3380CC4-5D6E-409C-BE32-E72D297353CC}">
              <c16:uniqueId val="{00000000-02DE-4AE5-80F5-A25332406B85}"/>
            </c:ext>
          </c:extLst>
        </c:ser>
        <c:dLbls>
          <c:dLblPos val="outEnd"/>
          <c:showLegendKey val="0"/>
          <c:showVal val="1"/>
          <c:showCatName val="0"/>
          <c:showSerName val="0"/>
          <c:showPercent val="0"/>
          <c:showBubbleSize val="0"/>
        </c:dLbls>
        <c:gapWidth val="219"/>
        <c:axId val="28101967"/>
        <c:axId val="28096687"/>
      </c:barChart>
      <c:catAx>
        <c:axId val="2810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096687"/>
        <c:crosses val="autoZero"/>
        <c:auto val="1"/>
        <c:lblAlgn val="ctr"/>
        <c:lblOffset val="100"/>
        <c:noMultiLvlLbl val="0"/>
      </c:catAx>
      <c:valAx>
        <c:axId val="28096687"/>
        <c:scaling>
          <c:orientation val="minMax"/>
        </c:scaling>
        <c:delete val="1"/>
        <c:axPos val="l"/>
        <c:numFmt formatCode="General" sourceLinked="1"/>
        <c:majorTickMark val="out"/>
        <c:minorTickMark val="none"/>
        <c:tickLblPos val="nextTo"/>
        <c:crossAx val="281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[Sales_Data_Analysis_.xlsx]Sheet7!PivotTable6</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Day by Day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2475443745361"/>
          <c:y val="0.25865522018081066"/>
          <c:w val="0.5957769556382394"/>
          <c:h val="0.53811424613589964"/>
        </c:manualLayout>
      </c:layout>
      <c:lineChart>
        <c:grouping val="stacked"/>
        <c:varyColors val="0"/>
        <c:ser>
          <c:idx val="0"/>
          <c:order val="0"/>
          <c:tx>
            <c:strRef>
              <c:f>Sheet7!$B$3</c:f>
              <c:strCache>
                <c:ptCount val="1"/>
                <c:pt idx="0">
                  <c:v>Total</c:v>
                </c:pt>
              </c:strCache>
            </c:strRef>
          </c:tx>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cat>
            <c:strRef>
              <c:f>Sheet7!$A$4:$A$7</c:f>
              <c:strCache>
                <c:ptCount val="3"/>
                <c:pt idx="0">
                  <c:v>Jan</c:v>
                </c:pt>
                <c:pt idx="1">
                  <c:v>Feb</c:v>
                </c:pt>
                <c:pt idx="2">
                  <c:v>Mar</c:v>
                </c:pt>
              </c:strCache>
            </c:strRef>
          </c:cat>
          <c:val>
            <c:numRef>
              <c:f>Sheet7!$B$4:$B$7</c:f>
              <c:numCache>
                <c:formatCode>General</c:formatCode>
                <c:ptCount val="3"/>
                <c:pt idx="0">
                  <c:v>246500</c:v>
                </c:pt>
                <c:pt idx="1">
                  <c:v>189200</c:v>
                </c:pt>
                <c:pt idx="2">
                  <c:v>201900</c:v>
                </c:pt>
              </c:numCache>
            </c:numRef>
          </c:val>
          <c:smooth val="0"/>
          <c:extLst>
            <c:ext xmlns:c16="http://schemas.microsoft.com/office/drawing/2014/chart" uri="{C3380CC4-5D6E-409C-BE32-E72D297353CC}">
              <c16:uniqueId val="{00000000-319A-4575-8411-2C88D85C5182}"/>
            </c:ext>
          </c:extLst>
        </c:ser>
        <c:dLbls>
          <c:showLegendKey val="0"/>
          <c:showVal val="0"/>
          <c:showCatName val="0"/>
          <c:showSerName val="0"/>
          <c:showPercent val="0"/>
          <c:showBubbleSize val="0"/>
        </c:dLbls>
        <c:marker val="1"/>
        <c:smooth val="0"/>
        <c:axId val="28127407"/>
        <c:axId val="28121167"/>
      </c:lineChart>
      <c:catAx>
        <c:axId val="2812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121167"/>
        <c:crosses val="autoZero"/>
        <c:auto val="1"/>
        <c:lblAlgn val="ctr"/>
        <c:lblOffset val="100"/>
        <c:noMultiLvlLbl val="0"/>
      </c:catAx>
      <c:valAx>
        <c:axId val="28121167"/>
        <c:scaling>
          <c:orientation val="minMax"/>
        </c:scaling>
        <c:delete val="1"/>
        <c:axPos val="l"/>
        <c:numFmt formatCode="General" sourceLinked="1"/>
        <c:majorTickMark val="out"/>
        <c:minorTickMark val="none"/>
        <c:tickLblPos val="nextTo"/>
        <c:crossAx val="281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551447</xdr:colOff>
      <xdr:row>0</xdr:row>
      <xdr:rowOff>0</xdr:rowOff>
    </xdr:from>
    <xdr:to>
      <xdr:col>30</xdr:col>
      <xdr:colOff>320842</xdr:colOff>
      <xdr:row>42</xdr:row>
      <xdr:rowOff>0</xdr:rowOff>
    </xdr:to>
    <xdr:sp macro="" textlink="">
      <xdr:nvSpPr>
        <xdr:cNvPr id="21" name="TextBox 20">
          <a:extLst>
            <a:ext uri="{FF2B5EF4-FFF2-40B4-BE49-F238E27FC236}">
              <a16:creationId xmlns:a16="http://schemas.microsoft.com/office/drawing/2014/main" id="{8A26316F-3AC8-F904-70BA-D80B37305B1A}"/>
            </a:ext>
          </a:extLst>
        </xdr:cNvPr>
        <xdr:cNvSpPr txBox="1"/>
      </xdr:nvSpPr>
      <xdr:spPr>
        <a:xfrm>
          <a:off x="12131842" y="0"/>
          <a:ext cx="7720263" cy="757989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endParaRPr lang="en-IN" sz="1100">
            <a:solidFill>
              <a:schemeClr val="accent2">
                <a:lumMod val="60000"/>
                <a:lumOff val="40000"/>
              </a:schemeClr>
            </a:solidFill>
          </a:endParaRPr>
        </a:p>
      </xdr:txBody>
    </xdr:sp>
    <xdr:clientData/>
  </xdr:twoCellAnchor>
  <xdr:twoCellAnchor>
    <xdr:from>
      <xdr:col>23</xdr:col>
      <xdr:colOff>7620</xdr:colOff>
      <xdr:row>15</xdr:row>
      <xdr:rowOff>145174</xdr:rowOff>
    </xdr:from>
    <xdr:to>
      <xdr:col>27</xdr:col>
      <xdr:colOff>60960</xdr:colOff>
      <xdr:row>26</xdr:row>
      <xdr:rowOff>145174</xdr:rowOff>
    </xdr:to>
    <xdr:graphicFrame macro="">
      <xdr:nvGraphicFramePr>
        <xdr:cNvPr id="3" name="Chart 1">
          <a:extLst>
            <a:ext uri="{FF2B5EF4-FFF2-40B4-BE49-F238E27FC236}">
              <a16:creationId xmlns:a16="http://schemas.microsoft.com/office/drawing/2014/main" id="{F2C2DAE3-BB9D-CFC4-7D66-3C80C475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320842</xdr:colOff>
      <xdr:row>27</xdr:row>
      <xdr:rowOff>147981</xdr:rowOff>
    </xdr:from>
    <xdr:to>
      <xdr:col>22</xdr:col>
      <xdr:colOff>370974</xdr:colOff>
      <xdr:row>39</xdr:row>
      <xdr:rowOff>163220</xdr:rowOff>
    </xdr:to>
    <xdr:graphicFrame macro="">
      <xdr:nvGraphicFramePr>
        <xdr:cNvPr id="4" name="Chart 1">
          <a:extLst>
            <a:ext uri="{FF2B5EF4-FFF2-40B4-BE49-F238E27FC236}">
              <a16:creationId xmlns:a16="http://schemas.microsoft.com/office/drawing/2014/main" id="{6C437A3C-2F5E-B169-FEB9-C4FE654C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15240</xdr:colOff>
      <xdr:row>27</xdr:row>
      <xdr:rowOff>158008</xdr:rowOff>
    </xdr:from>
    <xdr:to>
      <xdr:col>27</xdr:col>
      <xdr:colOff>22860</xdr:colOff>
      <xdr:row>39</xdr:row>
      <xdr:rowOff>165627</xdr:rowOff>
    </xdr:to>
    <xdr:graphicFrame macro="">
      <xdr:nvGraphicFramePr>
        <xdr:cNvPr id="5" name="Chart 1">
          <a:extLst>
            <a:ext uri="{FF2B5EF4-FFF2-40B4-BE49-F238E27FC236}">
              <a16:creationId xmlns:a16="http://schemas.microsoft.com/office/drawing/2014/main" id="{39D47364-F0B1-EFAB-1056-F1981052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240632</xdr:colOff>
      <xdr:row>26</xdr:row>
      <xdr:rowOff>57746</xdr:rowOff>
    </xdr:from>
    <xdr:to>
      <xdr:col>30</xdr:col>
      <xdr:colOff>13369</xdr:colOff>
      <xdr:row>32</xdr:row>
      <xdr:rowOff>76862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1A1623D-515B-4A25-851B-44E2655D6C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48421" y="4750062"/>
              <a:ext cx="1607553" cy="1101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243974</xdr:colOff>
      <xdr:row>8</xdr:row>
      <xdr:rowOff>50132</xdr:rowOff>
    </xdr:from>
    <xdr:to>
      <xdr:col>30</xdr:col>
      <xdr:colOff>16712</xdr:colOff>
      <xdr:row>15</xdr:row>
      <xdr:rowOff>110289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E404748-3E5C-4493-8B1D-D0B18FB805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451763" y="1493921"/>
              <a:ext cx="1607554" cy="132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236086</xdr:colOff>
      <xdr:row>16</xdr:row>
      <xdr:rowOff>20053</xdr:rowOff>
    </xdr:from>
    <xdr:to>
      <xdr:col>30</xdr:col>
      <xdr:colOff>10026</xdr:colOff>
      <xdr:row>25</xdr:row>
      <xdr:rowOff>150389</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882A95B0-3657-44B2-8699-D083C5914DD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8443875" y="2907632"/>
              <a:ext cx="1608756" cy="175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246381</xdr:colOff>
      <xdr:row>33</xdr:row>
      <xdr:rowOff>0</xdr:rowOff>
    </xdr:from>
    <xdr:to>
      <xdr:col>30</xdr:col>
      <xdr:colOff>30080</xdr:colOff>
      <xdr:row>40</xdr:row>
      <xdr:rowOff>20045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A3B33DD9-6ACE-4668-B5EF-EEB122D42D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454170" y="5955632"/>
              <a:ext cx="1618515" cy="128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88</xdr:row>
      <xdr:rowOff>15634</xdr:rowOff>
    </xdr:from>
    <xdr:to>
      <xdr:col>11</xdr:col>
      <xdr:colOff>918009</xdr:colOff>
      <xdr:row>102</xdr:row>
      <xdr:rowOff>36589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9AD62BF-4542-439E-BE3F-E275BD949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123898" y="15897318"/>
              <a:ext cx="1835216"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264293</xdr:colOff>
      <xdr:row>10</xdr:row>
      <xdr:rowOff>160012</xdr:rowOff>
    </xdr:from>
    <xdr:to>
      <xdr:col>24</xdr:col>
      <xdr:colOff>73793</xdr:colOff>
      <xdr:row>15</xdr:row>
      <xdr:rowOff>70183</xdr:rowOff>
    </xdr:to>
    <xdr:sp macro="" textlink="$K$4">
      <xdr:nvSpPr>
        <xdr:cNvPr id="11" name="Rectangle: Rounded Corners 10">
          <a:extLst>
            <a:ext uri="{FF2B5EF4-FFF2-40B4-BE49-F238E27FC236}">
              <a16:creationId xmlns:a16="http://schemas.microsoft.com/office/drawing/2014/main" id="{3DBAD203-C6A3-BFEF-5B64-DADE9071EAA3}"/>
            </a:ext>
          </a:extLst>
        </xdr:cNvPr>
        <xdr:cNvSpPr/>
      </xdr:nvSpPr>
      <xdr:spPr>
        <a:xfrm>
          <a:off x="14291109" y="1964749"/>
          <a:ext cx="1644316" cy="812539"/>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8DA6AA31-E5AB-4DAA-847E-536CD876AAAE}"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29</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297179</xdr:colOff>
      <xdr:row>11</xdr:row>
      <xdr:rowOff>17638</xdr:rowOff>
    </xdr:from>
    <xdr:to>
      <xdr:col>21</xdr:col>
      <xdr:colOff>236219</xdr:colOff>
      <xdr:row>15</xdr:row>
      <xdr:rowOff>50132</xdr:rowOff>
    </xdr:to>
    <xdr:sp macro="" textlink="$J$4">
      <xdr:nvSpPr>
        <xdr:cNvPr id="12" name="Rectangle: Rounded Corners 11">
          <a:extLst>
            <a:ext uri="{FF2B5EF4-FFF2-40B4-BE49-F238E27FC236}">
              <a16:creationId xmlns:a16="http://schemas.microsoft.com/office/drawing/2014/main" id="{F3F30403-3282-9026-EFF7-4E1E678652C6}"/>
            </a:ext>
          </a:extLst>
        </xdr:cNvPr>
        <xdr:cNvSpPr/>
      </xdr:nvSpPr>
      <xdr:spPr>
        <a:xfrm>
          <a:off x="12489179" y="2002849"/>
          <a:ext cx="1773856" cy="754388"/>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4208938B-475F-4E37-819C-1B51385068F8}"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637600</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24</xdr:col>
      <xdr:colOff>99460</xdr:colOff>
      <xdr:row>10</xdr:row>
      <xdr:rowOff>142366</xdr:rowOff>
    </xdr:from>
    <xdr:to>
      <xdr:col>27</xdr:col>
      <xdr:colOff>20052</xdr:colOff>
      <xdr:row>15</xdr:row>
      <xdr:rowOff>40106</xdr:rowOff>
    </xdr:to>
    <xdr:sp macro="" textlink="$L$4">
      <xdr:nvSpPr>
        <xdr:cNvPr id="13" name="Rectangle: Rounded Corners 12">
          <a:extLst>
            <a:ext uri="{FF2B5EF4-FFF2-40B4-BE49-F238E27FC236}">
              <a16:creationId xmlns:a16="http://schemas.microsoft.com/office/drawing/2014/main" id="{2BBC46BC-C928-2589-1B95-FF8F331129C0}"/>
            </a:ext>
          </a:extLst>
        </xdr:cNvPr>
        <xdr:cNvSpPr/>
      </xdr:nvSpPr>
      <xdr:spPr>
        <a:xfrm>
          <a:off x="15961092" y="1947103"/>
          <a:ext cx="1755407" cy="800108"/>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3D07448B-A662-4F95-A60D-6A6DFE46F93F}"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75</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334880</xdr:colOff>
      <xdr:row>15</xdr:row>
      <xdr:rowOff>160415</xdr:rowOff>
    </xdr:from>
    <xdr:to>
      <xdr:col>22</xdr:col>
      <xdr:colOff>370974</xdr:colOff>
      <xdr:row>27</xdr:row>
      <xdr:rowOff>30073</xdr:rowOff>
    </xdr:to>
    <xdr:graphicFrame macro="">
      <xdr:nvGraphicFramePr>
        <xdr:cNvPr id="15" name="Chart 1">
          <a:extLst>
            <a:ext uri="{FF2B5EF4-FFF2-40B4-BE49-F238E27FC236}">
              <a16:creationId xmlns:a16="http://schemas.microsoft.com/office/drawing/2014/main" id="{A7841A22-CA31-195F-4C82-32B42484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250659</xdr:colOff>
      <xdr:row>7</xdr:row>
      <xdr:rowOff>170448</xdr:rowOff>
    </xdr:from>
    <xdr:to>
      <xdr:col>21</xdr:col>
      <xdr:colOff>210553</xdr:colOff>
      <xdr:row>10</xdr:row>
      <xdr:rowOff>110289</xdr:rowOff>
    </xdr:to>
    <xdr:sp macro="" textlink="">
      <xdr:nvSpPr>
        <xdr:cNvPr id="16" name="Rectangle 15">
          <a:extLst>
            <a:ext uri="{FF2B5EF4-FFF2-40B4-BE49-F238E27FC236}">
              <a16:creationId xmlns:a16="http://schemas.microsoft.com/office/drawing/2014/main" id="{00A664AB-0D02-9A8C-2944-B00ACF34219B}"/>
            </a:ext>
          </a:extLst>
        </xdr:cNvPr>
        <xdr:cNvSpPr/>
      </xdr:nvSpPr>
      <xdr:spPr>
        <a:xfrm>
          <a:off x="12442659" y="1433764"/>
          <a:ext cx="1794710" cy="48126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Total_Revenue</a:t>
          </a:r>
        </a:p>
      </xdr:txBody>
    </xdr:sp>
    <xdr:clientData/>
  </xdr:twoCellAnchor>
  <xdr:twoCellAnchor>
    <xdr:from>
      <xdr:col>21</xdr:col>
      <xdr:colOff>230606</xdr:colOff>
      <xdr:row>8</xdr:row>
      <xdr:rowOff>10027</xdr:rowOff>
    </xdr:from>
    <xdr:to>
      <xdr:col>24</xdr:col>
      <xdr:colOff>100264</xdr:colOff>
      <xdr:row>10</xdr:row>
      <xdr:rowOff>110290</xdr:rowOff>
    </xdr:to>
    <xdr:sp macro="" textlink="">
      <xdr:nvSpPr>
        <xdr:cNvPr id="18" name="Rectangle 17">
          <a:extLst>
            <a:ext uri="{FF2B5EF4-FFF2-40B4-BE49-F238E27FC236}">
              <a16:creationId xmlns:a16="http://schemas.microsoft.com/office/drawing/2014/main" id="{5A6AA38A-6A6F-01BB-BEC6-0AA1556A2351}"/>
            </a:ext>
          </a:extLst>
        </xdr:cNvPr>
        <xdr:cNvSpPr/>
      </xdr:nvSpPr>
      <xdr:spPr>
        <a:xfrm>
          <a:off x="14257422" y="1453816"/>
          <a:ext cx="1704474" cy="46121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Total_Orders</a:t>
          </a:r>
        </a:p>
      </xdr:txBody>
    </xdr:sp>
    <xdr:clientData/>
  </xdr:twoCellAnchor>
  <xdr:twoCellAnchor>
    <xdr:from>
      <xdr:col>24</xdr:col>
      <xdr:colOff>130343</xdr:colOff>
      <xdr:row>8</xdr:row>
      <xdr:rowOff>20053</xdr:rowOff>
    </xdr:from>
    <xdr:to>
      <xdr:col>26</xdr:col>
      <xdr:colOff>601579</xdr:colOff>
      <xdr:row>10</xdr:row>
      <xdr:rowOff>90237</xdr:rowOff>
    </xdr:to>
    <xdr:sp macro="" textlink="">
      <xdr:nvSpPr>
        <xdr:cNvPr id="19" name="Rectangle 18">
          <a:extLst>
            <a:ext uri="{FF2B5EF4-FFF2-40B4-BE49-F238E27FC236}">
              <a16:creationId xmlns:a16="http://schemas.microsoft.com/office/drawing/2014/main" id="{2BDCE46F-4B56-6945-9BBC-5A64064638F7}"/>
            </a:ext>
          </a:extLst>
        </xdr:cNvPr>
        <xdr:cNvSpPr/>
      </xdr:nvSpPr>
      <xdr:spPr>
        <a:xfrm>
          <a:off x="15991975" y="1463842"/>
          <a:ext cx="1694446" cy="43113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Total_Quantity</a:t>
          </a:r>
        </a:p>
      </xdr:txBody>
    </xdr:sp>
    <xdr:clientData/>
  </xdr:twoCellAnchor>
  <xdr:twoCellAnchor>
    <xdr:from>
      <xdr:col>18</xdr:col>
      <xdr:colOff>240631</xdr:colOff>
      <xdr:row>2</xdr:row>
      <xdr:rowOff>100263</xdr:rowOff>
    </xdr:from>
    <xdr:to>
      <xdr:col>30</xdr:col>
      <xdr:colOff>40105</xdr:colOff>
      <xdr:row>7</xdr:row>
      <xdr:rowOff>60158</xdr:rowOff>
    </xdr:to>
    <xdr:sp macro="" textlink="">
      <xdr:nvSpPr>
        <xdr:cNvPr id="20" name="Rectangle 19">
          <a:extLst>
            <a:ext uri="{FF2B5EF4-FFF2-40B4-BE49-F238E27FC236}">
              <a16:creationId xmlns:a16="http://schemas.microsoft.com/office/drawing/2014/main" id="{852527FD-E821-0D3E-3A70-916E3F98397C}"/>
            </a:ext>
          </a:extLst>
        </xdr:cNvPr>
        <xdr:cNvSpPr/>
      </xdr:nvSpPr>
      <xdr:spPr>
        <a:xfrm>
          <a:off x="12432631" y="461210"/>
          <a:ext cx="7138737" cy="862264"/>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4000" b="1" cap="none" spc="0">
              <a:ln w="22225">
                <a:solidFill>
                  <a:schemeClr val="accent2"/>
                </a:solidFill>
                <a:prstDash val="solid"/>
              </a:ln>
              <a:solidFill>
                <a:schemeClr val="accent2">
                  <a:lumMod val="40000"/>
                  <a:lumOff val="60000"/>
                </a:schemeClr>
              </a:solidFill>
              <a:effectLst/>
            </a:rPr>
            <a:t>Sales Performance Dashboard</a:t>
          </a:r>
        </a:p>
      </xdr:txBody>
    </xdr:sp>
    <xdr:clientData/>
  </xdr:twoCellAnchor>
  <xdr:oneCellAnchor>
    <xdr:from>
      <xdr:col>20</xdr:col>
      <xdr:colOff>60157</xdr:colOff>
      <xdr:row>14</xdr:row>
      <xdr:rowOff>0</xdr:rowOff>
    </xdr:from>
    <xdr:ext cx="184731" cy="264560"/>
    <xdr:sp macro="" textlink="">
      <xdr:nvSpPr>
        <xdr:cNvPr id="23" name="TextBox 22">
          <a:extLst>
            <a:ext uri="{FF2B5EF4-FFF2-40B4-BE49-F238E27FC236}">
              <a16:creationId xmlns:a16="http://schemas.microsoft.com/office/drawing/2014/main" id="{4B40AB4A-601F-B351-3A07-5FB0DBF5123C}"/>
            </a:ext>
          </a:extLst>
        </xdr:cNvPr>
        <xdr:cNvSpPr txBox="1"/>
      </xdr:nvSpPr>
      <xdr:spPr>
        <a:xfrm>
          <a:off x="13475368" y="25266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GUDIYA" refreshedDate="46148.487893171296" createdVersion="8" refreshedVersion="8" minRefreshableVersion="3" recordCount="30" xr:uid="{3EF53EF5-1C36-4556-A737-A2C2A3662F75}">
  <cacheSource type="worksheet">
    <worksheetSource name="Table1"/>
  </cacheSource>
  <cacheFields count="10">
    <cacheField name="Order ID" numFmtId="0">
      <sharedItems containsSemiMixedTypes="0" containsString="0" containsNumber="1" containsInteger="1" minValue="1001" maxValue="1030"/>
    </cacheField>
    <cacheField name="Date" numFmtId="14">
      <sharedItems containsSemiMixedTypes="0" containsNonDate="0" containsDate="1" containsString="0" minDate="2026-01-02T00:00:00" maxDate="2026-03-26T00:00:00" count="30">
        <d v="2026-01-02T00:00:00"/>
        <d v="2026-01-05T00:00:00"/>
        <d v="2026-01-08T00:00:00"/>
        <d v="2026-01-10T00:00:00"/>
        <d v="2026-01-12T00:00:00"/>
        <d v="2026-01-15T00:00:00"/>
        <d v="2026-01-18T00:00:00"/>
        <d v="2026-01-20T00:00:00"/>
        <d v="2026-01-22T00:00:00"/>
        <d v="2026-01-25T00:00:00"/>
        <d v="2026-02-01T00:00:00"/>
        <d v="2026-02-03T00:00:00"/>
        <d v="2026-02-05T00:00:00"/>
        <d v="2026-02-08T00:00:00"/>
        <d v="2026-02-10T00:00:00"/>
        <d v="2026-02-12T00:00:00"/>
        <d v="2026-02-15T00:00:00"/>
        <d v="2026-02-18T00:00:00"/>
        <d v="2026-02-20T00:00:00"/>
        <d v="2026-02-25T00:00:00"/>
        <d v="2026-03-02T00:00:00"/>
        <d v="2026-03-05T00:00:00"/>
        <d v="2026-03-08T00:00:00"/>
        <d v="2026-03-10T00:00:00"/>
        <d v="2026-03-12T00:00:00"/>
        <d v="2026-03-15T00:00:00"/>
        <d v="2026-03-18T00:00:00"/>
        <d v="2026-03-20T00:00:00"/>
        <d v="2026-03-22T00:00:00"/>
        <d v="2026-03-25T00:00:00"/>
      </sharedItems>
      <fieldGroup par="9"/>
    </cacheField>
    <cacheField name="Product" numFmtId="0">
      <sharedItems count="10">
        <s v="Laptop"/>
        <s v="Phone"/>
        <s v="Shirt"/>
        <s v="Shoes"/>
        <s v="Headphones"/>
        <s v="Watch"/>
        <s v="Tablet"/>
        <s v="Jacket"/>
        <s v="Sandals"/>
        <s v="Bag"/>
      </sharedItems>
    </cacheField>
    <cacheField name="Category" numFmtId="0">
      <sharedItems count="4">
        <s v="Electronics"/>
        <s v="Clothing"/>
        <s v="Footwear"/>
        <s v="Accessories"/>
      </sharedItems>
    </cacheField>
    <cacheField name="Region" numFmtId="0">
      <sharedItems count="4">
        <s v="North"/>
        <s v="South"/>
        <s v="East"/>
        <s v="West"/>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00" maxValue="60000"/>
    </cacheField>
    <cacheField name="Revenue" numFmtId="0">
      <sharedItems containsSemiMixedTypes="0" containsString="0" containsNumber="1" containsInteger="1" minValue="2400" maxValue="120000"/>
    </cacheField>
    <cacheField name="Days (Date)" numFmtId="0" databaseField="0">
      <fieldGroup base="1">
        <rangePr groupBy="days" startDate="2026-01-02T00:00:00" endDate="2026-03-26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3-2026"/>
        </groupItems>
      </fieldGroup>
    </cacheField>
    <cacheField name="Months (Date)" numFmtId="0" databaseField="0">
      <fieldGroup base="1">
        <rangePr groupBy="months" startDate="2026-01-02T00:00:00" endDate="2026-03-26T00:00:00"/>
        <groupItems count="14">
          <s v="&lt;02-01-2026"/>
          <s v="Jan"/>
          <s v="Feb"/>
          <s v="Mar"/>
          <s v="Apr"/>
          <s v="May"/>
          <s v="Jun"/>
          <s v="Jul"/>
          <s v="Aug"/>
          <s v="Sep"/>
          <s v="Oct"/>
          <s v="Nov"/>
          <s v="Dec"/>
          <s v="&gt;26-03-2026"/>
        </groupItems>
      </fieldGroup>
    </cacheField>
  </cacheFields>
  <extLst>
    <ext xmlns:x14="http://schemas.microsoft.com/office/spreadsheetml/2009/9/main" uri="{725AE2AE-9491-48be-B2B4-4EB974FC3084}">
      <x14:pivotCacheDefinition pivotCacheId="782169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n v="2"/>
    <n v="60000"/>
    <n v="120000"/>
  </r>
  <r>
    <n v="1002"/>
    <x v="1"/>
    <x v="1"/>
    <x v="0"/>
    <x v="1"/>
    <n v="3"/>
    <n v="20000"/>
    <n v="60000"/>
  </r>
  <r>
    <n v="1003"/>
    <x v="2"/>
    <x v="2"/>
    <x v="1"/>
    <x v="2"/>
    <n v="5"/>
    <n v="1200"/>
    <n v="6000"/>
  </r>
  <r>
    <n v="1004"/>
    <x v="3"/>
    <x v="3"/>
    <x v="2"/>
    <x v="3"/>
    <n v="2"/>
    <n v="3000"/>
    <n v="6000"/>
  </r>
  <r>
    <n v="1005"/>
    <x v="4"/>
    <x v="4"/>
    <x v="0"/>
    <x v="0"/>
    <n v="4"/>
    <n v="1500"/>
    <n v="6000"/>
  </r>
  <r>
    <n v="1006"/>
    <x v="5"/>
    <x v="5"/>
    <x v="3"/>
    <x v="1"/>
    <n v="3"/>
    <n v="2500"/>
    <n v="7500"/>
  </r>
  <r>
    <n v="1007"/>
    <x v="6"/>
    <x v="6"/>
    <x v="0"/>
    <x v="2"/>
    <n v="1"/>
    <n v="30000"/>
    <n v="30000"/>
  </r>
  <r>
    <n v="1008"/>
    <x v="7"/>
    <x v="7"/>
    <x v="1"/>
    <x v="3"/>
    <n v="2"/>
    <n v="2500"/>
    <n v="5000"/>
  </r>
  <r>
    <n v="1009"/>
    <x v="8"/>
    <x v="8"/>
    <x v="2"/>
    <x v="0"/>
    <n v="3"/>
    <n v="800"/>
    <n v="2400"/>
  </r>
  <r>
    <n v="1010"/>
    <x v="9"/>
    <x v="9"/>
    <x v="3"/>
    <x v="1"/>
    <n v="2"/>
    <n v="1800"/>
    <n v="3600"/>
  </r>
  <r>
    <n v="1011"/>
    <x v="10"/>
    <x v="0"/>
    <x v="0"/>
    <x v="2"/>
    <n v="1"/>
    <n v="60000"/>
    <n v="60000"/>
  </r>
  <r>
    <n v="1012"/>
    <x v="11"/>
    <x v="1"/>
    <x v="0"/>
    <x v="3"/>
    <n v="2"/>
    <n v="20000"/>
    <n v="40000"/>
  </r>
  <r>
    <n v="1013"/>
    <x v="12"/>
    <x v="2"/>
    <x v="1"/>
    <x v="0"/>
    <n v="4"/>
    <n v="1200"/>
    <n v="4800"/>
  </r>
  <r>
    <n v="1014"/>
    <x v="13"/>
    <x v="3"/>
    <x v="2"/>
    <x v="1"/>
    <n v="1"/>
    <n v="3000"/>
    <n v="3000"/>
  </r>
  <r>
    <n v="1015"/>
    <x v="14"/>
    <x v="4"/>
    <x v="0"/>
    <x v="2"/>
    <n v="3"/>
    <n v="1500"/>
    <n v="4500"/>
  </r>
  <r>
    <n v="1016"/>
    <x v="15"/>
    <x v="5"/>
    <x v="3"/>
    <x v="3"/>
    <n v="2"/>
    <n v="2500"/>
    <n v="5000"/>
  </r>
  <r>
    <n v="1017"/>
    <x v="16"/>
    <x v="6"/>
    <x v="0"/>
    <x v="0"/>
    <n v="2"/>
    <n v="30000"/>
    <n v="60000"/>
  </r>
  <r>
    <n v="1018"/>
    <x v="17"/>
    <x v="7"/>
    <x v="1"/>
    <x v="1"/>
    <n v="1"/>
    <n v="2500"/>
    <n v="2500"/>
  </r>
  <r>
    <n v="1019"/>
    <x v="18"/>
    <x v="8"/>
    <x v="2"/>
    <x v="2"/>
    <n v="5"/>
    <n v="800"/>
    <n v="4000"/>
  </r>
  <r>
    <n v="1020"/>
    <x v="19"/>
    <x v="9"/>
    <x v="3"/>
    <x v="3"/>
    <n v="3"/>
    <n v="1800"/>
    <n v="5400"/>
  </r>
  <r>
    <n v="1021"/>
    <x v="20"/>
    <x v="0"/>
    <x v="0"/>
    <x v="1"/>
    <n v="1"/>
    <n v="60000"/>
    <n v="60000"/>
  </r>
  <r>
    <n v="1022"/>
    <x v="21"/>
    <x v="1"/>
    <x v="0"/>
    <x v="0"/>
    <n v="4"/>
    <n v="20000"/>
    <n v="80000"/>
  </r>
  <r>
    <n v="1023"/>
    <x v="22"/>
    <x v="2"/>
    <x v="1"/>
    <x v="3"/>
    <n v="3"/>
    <n v="1200"/>
    <n v="3600"/>
  </r>
  <r>
    <n v="1024"/>
    <x v="23"/>
    <x v="3"/>
    <x v="2"/>
    <x v="2"/>
    <n v="2"/>
    <n v="3000"/>
    <n v="6000"/>
  </r>
  <r>
    <n v="1025"/>
    <x v="24"/>
    <x v="4"/>
    <x v="0"/>
    <x v="1"/>
    <n v="2"/>
    <n v="1500"/>
    <n v="3000"/>
  </r>
  <r>
    <n v="1026"/>
    <x v="25"/>
    <x v="5"/>
    <x v="3"/>
    <x v="0"/>
    <n v="3"/>
    <n v="2500"/>
    <n v="7500"/>
  </r>
  <r>
    <n v="1027"/>
    <x v="26"/>
    <x v="6"/>
    <x v="0"/>
    <x v="3"/>
    <n v="1"/>
    <n v="30000"/>
    <n v="30000"/>
  </r>
  <r>
    <n v="1028"/>
    <x v="27"/>
    <x v="7"/>
    <x v="1"/>
    <x v="2"/>
    <n v="2"/>
    <n v="2500"/>
    <n v="5000"/>
  </r>
  <r>
    <n v="1029"/>
    <x v="28"/>
    <x v="8"/>
    <x v="2"/>
    <x v="1"/>
    <n v="4"/>
    <n v="800"/>
    <n v="3200"/>
  </r>
  <r>
    <n v="1030"/>
    <x v="29"/>
    <x v="9"/>
    <x v="3"/>
    <x v="0"/>
    <n v="2"/>
    <n v="1800"/>
    <n v="3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48EE0-74DF-4B6F-96D5-4B1263FEC99E}"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19"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BF5E0-7753-4C31-9975-B44D38DAF294}"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6:I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D2464-23C8-4379-8787-B3BE04564D4C}"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E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5D9D2F-BCB7-4130-8F0D-A27311A2230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11">
        <item x="9"/>
        <item x="4"/>
        <item x="7"/>
        <item x="0"/>
        <item x="1"/>
        <item x="8"/>
        <item x="2"/>
        <item x="3"/>
        <item x="6"/>
        <item x="5"/>
        <item t="default"/>
      </items>
    </pivotField>
    <pivotField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509E5D-6513-465B-9B1F-00F1C984AAC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C06A0C-8732-4703-AF4E-A79E4612FDC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D8864C-99CB-4511-B00B-E270DC402AF1}"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3E98F-6A58-4A9C-A7E1-69AD5A3F04C4}" sourceName="Region">
  <pivotTables>
    <pivotTable tabId="2" name="PivotTable1"/>
    <pivotTable tabId="3" name="PivotTable2"/>
    <pivotTable tabId="4" name="PivotTable3"/>
    <pivotTable tabId="2" name="PivotTable8"/>
    <pivotTable tabId="2" name="PivotTable9"/>
  </pivotTables>
  <data>
    <tabular pivotCacheId="78216925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F784BE0-F005-41E0-88C4-C03491617C80}" sourceName="Date">
  <pivotTables>
    <pivotTable tabId="2" name="PivotTable1"/>
    <pivotTable tabId="3" name="PivotTable2"/>
    <pivotTable tabId="4" name="PivotTable3"/>
    <pivotTable tabId="7" name="PivotTable6"/>
    <pivotTable tabId="2" name="PivotTable8"/>
    <pivotTable tabId="2" name="PivotTable9"/>
    <pivotTable tabId="2" name="PivotTable11"/>
  </pivotTables>
  <data>
    <tabular pivotCacheId="782169251">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7CC780E-3358-46DA-A41B-78DD4D0CFF4D}" sourceName="Category">
  <pivotTables>
    <pivotTable tabId="3" name="PivotTable2"/>
    <pivotTable tabId="2" name="PivotTable1"/>
    <pivotTable tabId="4" name="PivotTable3"/>
    <pivotTable tabId="2" name="PivotTable8"/>
    <pivotTable tabId="2" name="PivotTable9"/>
  </pivotTables>
  <data>
    <tabular pivotCacheId="78216925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01E923-F9F9-4DBB-9164-74E53BF433EA}" cache="Slicer_Region" caption="Region" columnCount="2" rowHeight="247650"/>
  <slicer name="Region 1" xr10:uid="{86FBDB92-3D61-4D8F-90BF-06F52A3A05E5}" cache="Slicer_Region" caption="Region" rowHeight="247650"/>
  <slicer name="Date" xr10:uid="{A09F2649-D93F-4BAB-99AE-22BB37B16AEC}" cache="Slicer_Date" caption="Date" columnCount="2" rowHeight="247650"/>
  <slicer name="Category 1" xr10:uid="{F0152226-D2E3-4FB3-8282-9060EE8C14FD}" cache="Slicer_Category1" caption="Category" columnCount="2" rowHeight="247650"/>
  <slicer name="Category" xr10:uid="{7FED9F93-500A-4DC3-B093-1340C0304C4B}" cache="Slicer_Category1" caption="Category"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945BF-A49E-449F-A4B2-C13DBEEF5322}" name="Table1" displayName="Table1" ref="A1:H31" totalsRowShown="0">
  <autoFilter ref="A1:H31" xr:uid="{6A3945BF-A49E-449F-A4B2-C13DBEEF5322}"/>
  <tableColumns count="8">
    <tableColumn id="1" xr3:uid="{DC59E289-4653-41C2-B94B-4D0835AE1306}" name="Order ID"/>
    <tableColumn id="2" xr3:uid="{8CCFA5A1-326C-4409-850F-3C214A1D4855}" name="Date" dataDxfId="0"/>
    <tableColumn id="3" xr3:uid="{0D12241B-0DB0-4880-A360-48853355C057}" name="Product"/>
    <tableColumn id="4" xr3:uid="{01EEC329-8630-432B-892D-AA1FF8387816}" name="Category"/>
    <tableColumn id="5" xr3:uid="{5AAA1201-D9D1-447D-84BB-35AE7DE8BA16}" name="Region"/>
    <tableColumn id="6" xr3:uid="{836E8B18-66B7-41C5-BDAE-E9F367287727}" name="Quantity"/>
    <tableColumn id="7" xr3:uid="{181FFF74-BDE9-4AA9-8073-E0696AC728CB}" name="Price"/>
    <tableColumn id="8" xr3:uid="{F9B85178-6160-4560-B39B-99C01FEE67B1}"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FA007-D1D8-4F52-8E6B-26B0689C1F59}" name="Table3" displayName="Table3" ref="J3:L4" totalsRowShown="0">
  <autoFilter ref="J3:L4" xr:uid="{957FA007-D1D8-4F52-8E6B-26B0689C1F59}"/>
  <tableColumns count="3">
    <tableColumn id="1" xr3:uid="{AB18A259-C530-4B9B-9D6F-45436B702177}" name="Total_Revenue">
      <calculatedColumnFormula>SUM(H:H)</calculatedColumnFormula>
    </tableColumn>
    <tableColumn id="2" xr3:uid="{64EB57AD-784D-4ADA-BF86-BCD9DFCAD608}" name="Total_Orders">
      <calculatedColumnFormula>COUNT(A:A)-1</calculatedColumnFormula>
    </tableColumn>
    <tableColumn id="3" xr3:uid="{831E55DB-E077-451C-B791-76CD95EB573D}" name="Total_Quantity">
      <calculatedColumnFormula>SUM(F:F)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10D2-0E78-44B8-8E66-E9BB54F62B6A}">
  <dimension ref="A3:I19"/>
  <sheetViews>
    <sheetView tabSelected="1" topLeftCell="B1" workbookViewId="0">
      <selection activeCell="G12" sqref="G12"/>
    </sheetView>
  </sheetViews>
  <sheetFormatPr defaultRowHeight="14.4" x14ac:dyDescent="0.3"/>
  <cols>
    <col min="1" max="1" width="12.44140625" bestFit="1" customWidth="1"/>
    <col min="2" max="2" width="14.109375" bestFit="1" customWidth="1"/>
    <col min="4" max="4" width="13.21875" customWidth="1"/>
    <col min="5" max="5" width="13.5546875" customWidth="1"/>
    <col min="8" max="8" width="13.77734375" customWidth="1"/>
    <col min="9" max="9" width="13.44140625" customWidth="1"/>
  </cols>
  <sheetData>
    <row r="3" spans="1:9" x14ac:dyDescent="0.3">
      <c r="A3" s="2" t="s">
        <v>30</v>
      </c>
      <c r="B3" t="s">
        <v>29</v>
      </c>
    </row>
    <row r="4" spans="1:9" x14ac:dyDescent="0.3">
      <c r="A4" s="3" t="s">
        <v>25</v>
      </c>
      <c r="B4">
        <v>12600</v>
      </c>
    </row>
    <row r="5" spans="1:9" x14ac:dyDescent="0.3">
      <c r="A5" s="3" t="s">
        <v>19</v>
      </c>
      <c r="B5">
        <v>13500</v>
      </c>
    </row>
    <row r="6" spans="1:9" x14ac:dyDescent="0.3">
      <c r="A6" s="3" t="s">
        <v>23</v>
      </c>
      <c r="B6">
        <v>12500</v>
      </c>
      <c r="D6" s="2" t="s">
        <v>30</v>
      </c>
      <c r="E6" t="s">
        <v>29</v>
      </c>
      <c r="H6" s="2" t="s">
        <v>30</v>
      </c>
      <c r="I6" t="s">
        <v>29</v>
      </c>
    </row>
    <row r="7" spans="1:9" x14ac:dyDescent="0.3">
      <c r="A7" s="3" t="s">
        <v>8</v>
      </c>
      <c r="B7">
        <v>240000</v>
      </c>
      <c r="D7" s="3" t="s">
        <v>21</v>
      </c>
      <c r="E7">
        <v>32600</v>
      </c>
      <c r="H7" s="3" t="s">
        <v>15</v>
      </c>
      <c r="I7">
        <v>115500</v>
      </c>
    </row>
    <row r="8" spans="1:9" x14ac:dyDescent="0.3">
      <c r="A8" s="3" t="s">
        <v>11</v>
      </c>
      <c r="B8">
        <v>180000</v>
      </c>
      <c r="D8" s="3" t="s">
        <v>14</v>
      </c>
      <c r="E8">
        <v>26900</v>
      </c>
      <c r="H8" s="3" t="s">
        <v>10</v>
      </c>
      <c r="I8">
        <v>284300</v>
      </c>
    </row>
    <row r="9" spans="1:9" x14ac:dyDescent="0.3">
      <c r="A9" s="3" t="s">
        <v>24</v>
      </c>
      <c r="B9">
        <v>9600</v>
      </c>
      <c r="D9" s="3" t="s">
        <v>9</v>
      </c>
      <c r="E9">
        <v>553500</v>
      </c>
      <c r="H9" s="3" t="s">
        <v>12</v>
      </c>
      <c r="I9">
        <v>142800</v>
      </c>
    </row>
    <row r="10" spans="1:9" x14ac:dyDescent="0.3">
      <c r="A10" s="3" t="s">
        <v>13</v>
      </c>
      <c r="B10">
        <v>14400</v>
      </c>
      <c r="D10" s="3" t="s">
        <v>17</v>
      </c>
      <c r="E10">
        <v>24600</v>
      </c>
      <c r="H10" s="3" t="s">
        <v>18</v>
      </c>
      <c r="I10">
        <v>95000</v>
      </c>
    </row>
    <row r="11" spans="1:9" x14ac:dyDescent="0.3">
      <c r="A11" s="3" t="s">
        <v>16</v>
      </c>
      <c r="B11">
        <v>15000</v>
      </c>
      <c r="D11" s="3" t="s">
        <v>31</v>
      </c>
      <c r="E11">
        <v>637600</v>
      </c>
      <c r="H11" s="3" t="s">
        <v>31</v>
      </c>
      <c r="I11">
        <v>637600</v>
      </c>
    </row>
    <row r="12" spans="1:9" x14ac:dyDescent="0.3">
      <c r="A12" s="3" t="s">
        <v>22</v>
      </c>
      <c r="B12">
        <v>120000</v>
      </c>
    </row>
    <row r="13" spans="1:9" x14ac:dyDescent="0.3">
      <c r="A13" s="3" t="s">
        <v>20</v>
      </c>
      <c r="B13">
        <v>20000</v>
      </c>
    </row>
    <row r="14" spans="1:9" x14ac:dyDescent="0.3">
      <c r="A14" s="3" t="s">
        <v>31</v>
      </c>
      <c r="B14">
        <v>637600</v>
      </c>
    </row>
    <row r="15" spans="1:9" x14ac:dyDescent="0.3">
      <c r="D15" s="2" t="s">
        <v>30</v>
      </c>
      <c r="E15" t="s">
        <v>29</v>
      </c>
    </row>
    <row r="16" spans="1:9" x14ac:dyDescent="0.3">
      <c r="D16" s="3" t="s">
        <v>32</v>
      </c>
      <c r="E16">
        <v>246500</v>
      </c>
    </row>
    <row r="17" spans="4:5" x14ac:dyDescent="0.3">
      <c r="D17" s="3" t="s">
        <v>33</v>
      </c>
      <c r="E17">
        <v>189200</v>
      </c>
    </row>
    <row r="18" spans="4:5" x14ac:dyDescent="0.3">
      <c r="D18" s="3" t="s">
        <v>34</v>
      </c>
      <c r="E18">
        <v>201900</v>
      </c>
    </row>
    <row r="19" spans="4:5" x14ac:dyDescent="0.3">
      <c r="D19" s="3" t="s">
        <v>31</v>
      </c>
      <c r="E19">
        <v>637600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B938-F76E-4CDC-AE80-DE16AA818450}">
  <dimension ref="A3:B8"/>
  <sheetViews>
    <sheetView workbookViewId="0">
      <selection activeCell="A2" sqref="A2:B8"/>
    </sheetView>
  </sheetViews>
  <sheetFormatPr defaultRowHeight="14.4" x14ac:dyDescent="0.3"/>
  <cols>
    <col min="1" max="1" width="12.44140625" bestFit="1" customWidth="1"/>
    <col min="2" max="2" width="14.109375" bestFit="1" customWidth="1"/>
  </cols>
  <sheetData>
    <row r="3" spans="1:2" x14ac:dyDescent="0.3">
      <c r="A3" s="2" t="s">
        <v>30</v>
      </c>
      <c r="B3" t="s">
        <v>29</v>
      </c>
    </row>
    <row r="4" spans="1:2" x14ac:dyDescent="0.3">
      <c r="A4" s="3" t="s">
        <v>21</v>
      </c>
      <c r="B4">
        <v>32600</v>
      </c>
    </row>
    <row r="5" spans="1:2" x14ac:dyDescent="0.3">
      <c r="A5" s="3" t="s">
        <v>14</v>
      </c>
      <c r="B5">
        <v>26900</v>
      </c>
    </row>
    <row r="6" spans="1:2" x14ac:dyDescent="0.3">
      <c r="A6" s="3" t="s">
        <v>9</v>
      </c>
      <c r="B6">
        <v>553500</v>
      </c>
    </row>
    <row r="7" spans="1:2" x14ac:dyDescent="0.3">
      <c r="A7" s="3" t="s">
        <v>17</v>
      </c>
      <c r="B7">
        <v>24600</v>
      </c>
    </row>
    <row r="8" spans="1:2" x14ac:dyDescent="0.3">
      <c r="A8" s="3" t="s">
        <v>31</v>
      </c>
      <c r="B8">
        <v>637600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C9AE-9D12-41DA-A673-1136851657B4}">
  <dimension ref="A3:B8"/>
  <sheetViews>
    <sheetView workbookViewId="0">
      <selection activeCell="A3" sqref="A3:B8"/>
    </sheetView>
  </sheetViews>
  <sheetFormatPr defaultRowHeight="14.4" x14ac:dyDescent="0.3"/>
  <cols>
    <col min="1" max="1" width="12.44140625" bestFit="1" customWidth="1"/>
    <col min="2" max="2" width="14.109375" bestFit="1" customWidth="1"/>
  </cols>
  <sheetData>
    <row r="3" spans="1:2" x14ac:dyDescent="0.3">
      <c r="A3" s="2" t="s">
        <v>30</v>
      </c>
      <c r="B3" t="s">
        <v>29</v>
      </c>
    </row>
    <row r="4" spans="1:2" x14ac:dyDescent="0.3">
      <c r="A4" s="3" t="s">
        <v>15</v>
      </c>
      <c r="B4">
        <v>115500</v>
      </c>
    </row>
    <row r="5" spans="1:2" x14ac:dyDescent="0.3">
      <c r="A5" s="3" t="s">
        <v>10</v>
      </c>
      <c r="B5">
        <v>284300</v>
      </c>
    </row>
    <row r="6" spans="1:2" x14ac:dyDescent="0.3">
      <c r="A6" s="3" t="s">
        <v>12</v>
      </c>
      <c r="B6">
        <v>142800</v>
      </c>
    </row>
    <row r="7" spans="1:2" x14ac:dyDescent="0.3">
      <c r="A7" s="3" t="s">
        <v>18</v>
      </c>
      <c r="B7">
        <v>95000</v>
      </c>
    </row>
    <row r="8" spans="1:2" x14ac:dyDescent="0.3">
      <c r="A8" s="3" t="s">
        <v>31</v>
      </c>
      <c r="B8">
        <v>637600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0952-1EEB-412C-AF3B-372D1DC90D87}">
  <dimension ref="A3:B7"/>
  <sheetViews>
    <sheetView workbookViewId="0">
      <selection activeCell="A3" sqref="A3:B7"/>
    </sheetView>
  </sheetViews>
  <sheetFormatPr defaultRowHeight="14.4" x14ac:dyDescent="0.3"/>
  <cols>
    <col min="1" max="1" width="12.44140625" bestFit="1" customWidth="1"/>
    <col min="2" max="2" width="14.109375" bestFit="1" customWidth="1"/>
  </cols>
  <sheetData>
    <row r="3" spans="1:2" x14ac:dyDescent="0.3">
      <c r="A3" s="2" t="s">
        <v>30</v>
      </c>
      <c r="B3" t="s">
        <v>29</v>
      </c>
    </row>
    <row r="4" spans="1:2" x14ac:dyDescent="0.3">
      <c r="A4" s="3" t="s">
        <v>32</v>
      </c>
      <c r="B4">
        <v>246500</v>
      </c>
    </row>
    <row r="5" spans="1:2" x14ac:dyDescent="0.3">
      <c r="A5" s="3" t="s">
        <v>33</v>
      </c>
      <c r="B5">
        <v>189200</v>
      </c>
    </row>
    <row r="6" spans="1:2" x14ac:dyDescent="0.3">
      <c r="A6" s="3" t="s">
        <v>34</v>
      </c>
      <c r="B6">
        <v>201900</v>
      </c>
    </row>
    <row r="7" spans="1:2" x14ac:dyDescent="0.3">
      <c r="A7" s="3" t="s">
        <v>31</v>
      </c>
      <c r="B7">
        <v>637600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3407-13CE-4A22-8200-339D528631E1}">
  <dimension ref="A1:L31"/>
  <sheetViews>
    <sheetView zoomScale="76" workbookViewId="0">
      <selection activeCell="O23" sqref="O23"/>
    </sheetView>
  </sheetViews>
  <sheetFormatPr defaultRowHeight="14.4" x14ac:dyDescent="0.3"/>
  <cols>
    <col min="1" max="1" width="9.77734375" customWidth="1"/>
    <col min="2" max="2" width="12.44140625" customWidth="1"/>
    <col min="3" max="3" width="9.44140625" customWidth="1"/>
    <col min="4" max="4" width="10.21875" customWidth="1"/>
    <col min="6" max="6" width="10" customWidth="1"/>
    <col min="8" max="8" width="9.88671875" customWidth="1"/>
    <col min="10" max="10" width="15.109375" customWidth="1"/>
    <col min="11" max="11" width="13.5546875" customWidth="1"/>
    <col min="12" max="12" width="14.88671875" customWidth="1"/>
    <col min="20" max="20" width="8.44140625" customWidth="1"/>
  </cols>
  <sheetData>
    <row r="1" spans="1:12" x14ac:dyDescent="0.3">
      <c r="A1" t="s">
        <v>0</v>
      </c>
      <c r="B1" t="s">
        <v>1</v>
      </c>
      <c r="C1" t="s">
        <v>2</v>
      </c>
      <c r="D1" t="s">
        <v>3</v>
      </c>
      <c r="E1" t="s">
        <v>4</v>
      </c>
      <c r="F1" t="s">
        <v>5</v>
      </c>
      <c r="G1" t="s">
        <v>6</v>
      </c>
      <c r="H1" t="s">
        <v>7</v>
      </c>
    </row>
    <row r="2" spans="1:12" x14ac:dyDescent="0.3">
      <c r="A2">
        <v>1001</v>
      </c>
      <c r="B2" s="1">
        <v>46024</v>
      </c>
      <c r="C2" t="s">
        <v>8</v>
      </c>
      <c r="D2" t="s">
        <v>9</v>
      </c>
      <c r="E2" t="s">
        <v>10</v>
      </c>
      <c r="F2">
        <v>2</v>
      </c>
      <c r="G2">
        <v>60000</v>
      </c>
      <c r="H2">
        <v>120000</v>
      </c>
    </row>
    <row r="3" spans="1:12" x14ac:dyDescent="0.3">
      <c r="A3">
        <v>1002</v>
      </c>
      <c r="B3" s="1">
        <v>46027</v>
      </c>
      <c r="C3" t="s">
        <v>11</v>
      </c>
      <c r="D3" t="s">
        <v>9</v>
      </c>
      <c r="E3" t="s">
        <v>12</v>
      </c>
      <c r="F3">
        <v>3</v>
      </c>
      <c r="G3">
        <v>20000</v>
      </c>
      <c r="H3">
        <v>60000</v>
      </c>
      <c r="J3" t="s">
        <v>26</v>
      </c>
      <c r="K3" t="s">
        <v>27</v>
      </c>
      <c r="L3" t="s">
        <v>28</v>
      </c>
    </row>
    <row r="4" spans="1:12" x14ac:dyDescent="0.3">
      <c r="A4">
        <v>1003</v>
      </c>
      <c r="B4" s="1">
        <v>46030</v>
      </c>
      <c r="C4" t="s">
        <v>13</v>
      </c>
      <c r="D4" t="s">
        <v>14</v>
      </c>
      <c r="E4" t="s">
        <v>15</v>
      </c>
      <c r="F4">
        <v>5</v>
      </c>
      <c r="G4">
        <v>1200</v>
      </c>
      <c r="H4">
        <v>6000</v>
      </c>
      <c r="J4">
        <f>SUM(H:H)</f>
        <v>637600</v>
      </c>
      <c r="K4">
        <f>COUNT(A:A)-1</f>
        <v>29</v>
      </c>
      <c r="L4">
        <f>SUM(F:F)</f>
        <v>75</v>
      </c>
    </row>
    <row r="5" spans="1:12" x14ac:dyDescent="0.3">
      <c r="A5">
        <v>1004</v>
      </c>
      <c r="B5" s="1">
        <v>46032</v>
      </c>
      <c r="C5" t="s">
        <v>16</v>
      </c>
      <c r="D5" t="s">
        <v>17</v>
      </c>
      <c r="E5" t="s">
        <v>18</v>
      </c>
      <c r="F5">
        <v>2</v>
      </c>
      <c r="G5">
        <v>3000</v>
      </c>
      <c r="H5">
        <v>6000</v>
      </c>
    </row>
    <row r="6" spans="1:12" x14ac:dyDescent="0.3">
      <c r="A6">
        <v>1005</v>
      </c>
      <c r="B6" s="1">
        <v>46034</v>
      </c>
      <c r="C6" t="s">
        <v>19</v>
      </c>
      <c r="D6" t="s">
        <v>9</v>
      </c>
      <c r="E6" t="s">
        <v>10</v>
      </c>
      <c r="F6">
        <v>4</v>
      </c>
      <c r="G6">
        <v>1500</v>
      </c>
      <c r="H6">
        <v>6000</v>
      </c>
    </row>
    <row r="7" spans="1:12" x14ac:dyDescent="0.3">
      <c r="A7">
        <v>1006</v>
      </c>
      <c r="B7" s="1">
        <v>46037</v>
      </c>
      <c r="C7" t="s">
        <v>20</v>
      </c>
      <c r="D7" t="s">
        <v>21</v>
      </c>
      <c r="E7" t="s">
        <v>12</v>
      </c>
      <c r="F7">
        <v>3</v>
      </c>
      <c r="G7">
        <v>2500</v>
      </c>
      <c r="H7">
        <v>7500</v>
      </c>
    </row>
    <row r="8" spans="1:12" x14ac:dyDescent="0.3">
      <c r="A8">
        <v>1007</v>
      </c>
      <c r="B8" s="1">
        <v>46040</v>
      </c>
      <c r="C8" t="s">
        <v>22</v>
      </c>
      <c r="D8" t="s">
        <v>9</v>
      </c>
      <c r="E8" t="s">
        <v>15</v>
      </c>
      <c r="F8">
        <v>1</v>
      </c>
      <c r="G8">
        <v>30000</v>
      </c>
      <c r="H8">
        <v>30000</v>
      </c>
    </row>
    <row r="9" spans="1:12" x14ac:dyDescent="0.3">
      <c r="A9">
        <v>1008</v>
      </c>
      <c r="B9" s="1">
        <v>46042</v>
      </c>
      <c r="C9" t="s">
        <v>23</v>
      </c>
      <c r="D9" t="s">
        <v>14</v>
      </c>
      <c r="E9" t="s">
        <v>18</v>
      </c>
      <c r="F9">
        <v>2</v>
      </c>
      <c r="G9">
        <v>2500</v>
      </c>
      <c r="H9">
        <v>5000</v>
      </c>
    </row>
    <row r="10" spans="1:12" x14ac:dyDescent="0.3">
      <c r="A10">
        <v>1009</v>
      </c>
      <c r="B10" s="1">
        <v>46044</v>
      </c>
      <c r="C10" t="s">
        <v>24</v>
      </c>
      <c r="D10" t="s">
        <v>17</v>
      </c>
      <c r="E10" t="s">
        <v>10</v>
      </c>
      <c r="F10">
        <v>3</v>
      </c>
      <c r="G10">
        <v>800</v>
      </c>
      <c r="H10">
        <v>2400</v>
      </c>
    </row>
    <row r="11" spans="1:12" x14ac:dyDescent="0.3">
      <c r="A11">
        <v>1010</v>
      </c>
      <c r="B11" s="1">
        <v>46047</v>
      </c>
      <c r="C11" t="s">
        <v>25</v>
      </c>
      <c r="D11" t="s">
        <v>21</v>
      </c>
      <c r="E11" t="s">
        <v>12</v>
      </c>
      <c r="F11">
        <v>2</v>
      </c>
      <c r="G11">
        <v>1800</v>
      </c>
      <c r="H11">
        <v>3600</v>
      </c>
    </row>
    <row r="12" spans="1:12" x14ac:dyDescent="0.3">
      <c r="A12">
        <v>1011</v>
      </c>
      <c r="B12" s="1">
        <v>46054</v>
      </c>
      <c r="C12" t="s">
        <v>8</v>
      </c>
      <c r="D12" t="s">
        <v>9</v>
      </c>
      <c r="E12" t="s">
        <v>15</v>
      </c>
      <c r="F12">
        <v>1</v>
      </c>
      <c r="G12">
        <v>60000</v>
      </c>
      <c r="H12">
        <v>60000</v>
      </c>
    </row>
    <row r="13" spans="1:12" x14ac:dyDescent="0.3">
      <c r="A13">
        <v>1012</v>
      </c>
      <c r="B13" s="1">
        <v>46056</v>
      </c>
      <c r="C13" t="s">
        <v>11</v>
      </c>
      <c r="D13" t="s">
        <v>9</v>
      </c>
      <c r="E13" t="s">
        <v>18</v>
      </c>
      <c r="F13">
        <v>2</v>
      </c>
      <c r="G13">
        <v>20000</v>
      </c>
      <c r="H13">
        <v>40000</v>
      </c>
    </row>
    <row r="14" spans="1:12" x14ac:dyDescent="0.3">
      <c r="A14">
        <v>1013</v>
      </c>
      <c r="B14" s="1">
        <v>46058</v>
      </c>
      <c r="C14" t="s">
        <v>13</v>
      </c>
      <c r="D14" t="s">
        <v>14</v>
      </c>
      <c r="E14" t="s">
        <v>10</v>
      </c>
      <c r="F14">
        <v>4</v>
      </c>
      <c r="G14">
        <v>1200</v>
      </c>
      <c r="H14">
        <v>4800</v>
      </c>
    </row>
    <row r="15" spans="1:12" x14ac:dyDescent="0.3">
      <c r="A15">
        <v>1014</v>
      </c>
      <c r="B15" s="1">
        <v>46061</v>
      </c>
      <c r="C15" t="s">
        <v>16</v>
      </c>
      <c r="D15" t="s">
        <v>17</v>
      </c>
      <c r="E15" t="s">
        <v>12</v>
      </c>
      <c r="F15">
        <v>1</v>
      </c>
      <c r="G15">
        <v>3000</v>
      </c>
      <c r="H15">
        <v>3000</v>
      </c>
    </row>
    <row r="16" spans="1:12" x14ac:dyDescent="0.3">
      <c r="A16">
        <v>1015</v>
      </c>
      <c r="B16" s="1">
        <v>46063</v>
      </c>
      <c r="C16" t="s">
        <v>19</v>
      </c>
      <c r="D16" t="s">
        <v>9</v>
      </c>
      <c r="E16" t="s">
        <v>15</v>
      </c>
      <c r="F16">
        <v>3</v>
      </c>
      <c r="G16">
        <v>1500</v>
      </c>
      <c r="H16">
        <v>4500</v>
      </c>
    </row>
    <row r="17" spans="1:8" x14ac:dyDescent="0.3">
      <c r="A17">
        <v>1016</v>
      </c>
      <c r="B17" s="1">
        <v>46065</v>
      </c>
      <c r="C17" t="s">
        <v>20</v>
      </c>
      <c r="D17" t="s">
        <v>21</v>
      </c>
      <c r="E17" t="s">
        <v>18</v>
      </c>
      <c r="F17">
        <v>2</v>
      </c>
      <c r="G17">
        <v>2500</v>
      </c>
      <c r="H17">
        <v>5000</v>
      </c>
    </row>
    <row r="18" spans="1:8" x14ac:dyDescent="0.3">
      <c r="A18">
        <v>1017</v>
      </c>
      <c r="B18" s="1">
        <v>46068</v>
      </c>
      <c r="C18" t="s">
        <v>22</v>
      </c>
      <c r="D18" t="s">
        <v>9</v>
      </c>
      <c r="E18" t="s">
        <v>10</v>
      </c>
      <c r="F18">
        <v>2</v>
      </c>
      <c r="G18">
        <v>30000</v>
      </c>
      <c r="H18">
        <v>60000</v>
      </c>
    </row>
    <row r="19" spans="1:8" x14ac:dyDescent="0.3">
      <c r="A19">
        <v>1018</v>
      </c>
      <c r="B19" s="1">
        <v>46071</v>
      </c>
      <c r="C19" t="s">
        <v>23</v>
      </c>
      <c r="D19" t="s">
        <v>14</v>
      </c>
      <c r="E19" t="s">
        <v>12</v>
      </c>
      <c r="F19">
        <v>1</v>
      </c>
      <c r="G19">
        <v>2500</v>
      </c>
      <c r="H19">
        <v>2500</v>
      </c>
    </row>
    <row r="20" spans="1:8" x14ac:dyDescent="0.3">
      <c r="A20">
        <v>1019</v>
      </c>
      <c r="B20" s="1">
        <v>46073</v>
      </c>
      <c r="C20" t="s">
        <v>24</v>
      </c>
      <c r="D20" t="s">
        <v>17</v>
      </c>
      <c r="E20" t="s">
        <v>15</v>
      </c>
      <c r="F20">
        <v>5</v>
      </c>
      <c r="G20">
        <v>800</v>
      </c>
      <c r="H20">
        <v>4000</v>
      </c>
    </row>
    <row r="21" spans="1:8" x14ac:dyDescent="0.3">
      <c r="A21">
        <v>1020</v>
      </c>
      <c r="B21" s="1">
        <v>46078</v>
      </c>
      <c r="C21" t="s">
        <v>25</v>
      </c>
      <c r="D21" t="s">
        <v>21</v>
      </c>
      <c r="E21" t="s">
        <v>18</v>
      </c>
      <c r="F21">
        <v>3</v>
      </c>
      <c r="G21">
        <v>1800</v>
      </c>
      <c r="H21">
        <v>5400</v>
      </c>
    </row>
    <row r="22" spans="1:8" x14ac:dyDescent="0.3">
      <c r="A22">
        <v>1021</v>
      </c>
      <c r="B22" s="1">
        <v>46083</v>
      </c>
      <c r="C22" t="s">
        <v>8</v>
      </c>
      <c r="D22" t="s">
        <v>9</v>
      </c>
      <c r="E22" t="s">
        <v>12</v>
      </c>
      <c r="F22">
        <v>1</v>
      </c>
      <c r="G22">
        <v>60000</v>
      </c>
      <c r="H22">
        <v>60000</v>
      </c>
    </row>
    <row r="23" spans="1:8" x14ac:dyDescent="0.3">
      <c r="A23">
        <v>1022</v>
      </c>
      <c r="B23" s="1">
        <v>46086</v>
      </c>
      <c r="C23" t="s">
        <v>11</v>
      </c>
      <c r="D23" t="s">
        <v>9</v>
      </c>
      <c r="E23" t="s">
        <v>10</v>
      </c>
      <c r="F23">
        <v>4</v>
      </c>
      <c r="G23">
        <v>20000</v>
      </c>
      <c r="H23">
        <v>80000</v>
      </c>
    </row>
    <row r="24" spans="1:8" x14ac:dyDescent="0.3">
      <c r="A24">
        <v>1023</v>
      </c>
      <c r="B24" s="1">
        <v>46089</v>
      </c>
      <c r="C24" t="s">
        <v>13</v>
      </c>
      <c r="D24" t="s">
        <v>14</v>
      </c>
      <c r="E24" t="s">
        <v>18</v>
      </c>
      <c r="F24">
        <v>3</v>
      </c>
      <c r="G24">
        <v>1200</v>
      </c>
      <c r="H24">
        <v>3600</v>
      </c>
    </row>
    <row r="25" spans="1:8" x14ac:dyDescent="0.3">
      <c r="A25">
        <v>1024</v>
      </c>
      <c r="B25" s="1">
        <v>46091</v>
      </c>
      <c r="C25" t="s">
        <v>16</v>
      </c>
      <c r="D25" t="s">
        <v>17</v>
      </c>
      <c r="E25" t="s">
        <v>15</v>
      </c>
      <c r="F25">
        <v>2</v>
      </c>
      <c r="G25">
        <v>3000</v>
      </c>
      <c r="H25">
        <v>6000</v>
      </c>
    </row>
    <row r="26" spans="1:8" x14ac:dyDescent="0.3">
      <c r="A26">
        <v>1025</v>
      </c>
      <c r="B26" s="1">
        <v>46093</v>
      </c>
      <c r="C26" t="s">
        <v>19</v>
      </c>
      <c r="D26" t="s">
        <v>9</v>
      </c>
      <c r="E26" t="s">
        <v>12</v>
      </c>
      <c r="F26">
        <v>2</v>
      </c>
      <c r="G26">
        <v>1500</v>
      </c>
      <c r="H26">
        <v>3000</v>
      </c>
    </row>
    <row r="27" spans="1:8" x14ac:dyDescent="0.3">
      <c r="A27">
        <v>1026</v>
      </c>
      <c r="B27" s="1">
        <v>46096</v>
      </c>
      <c r="C27" t="s">
        <v>20</v>
      </c>
      <c r="D27" t="s">
        <v>21</v>
      </c>
      <c r="E27" t="s">
        <v>10</v>
      </c>
      <c r="F27">
        <v>3</v>
      </c>
      <c r="G27">
        <v>2500</v>
      </c>
      <c r="H27">
        <v>7500</v>
      </c>
    </row>
    <row r="28" spans="1:8" x14ac:dyDescent="0.3">
      <c r="A28">
        <v>1027</v>
      </c>
      <c r="B28" s="1">
        <v>46099</v>
      </c>
      <c r="C28" t="s">
        <v>22</v>
      </c>
      <c r="D28" t="s">
        <v>9</v>
      </c>
      <c r="E28" t="s">
        <v>18</v>
      </c>
      <c r="F28">
        <v>1</v>
      </c>
      <c r="G28">
        <v>30000</v>
      </c>
      <c r="H28">
        <v>30000</v>
      </c>
    </row>
    <row r="29" spans="1:8" x14ac:dyDescent="0.3">
      <c r="A29">
        <v>1028</v>
      </c>
      <c r="B29" s="1">
        <v>46101</v>
      </c>
      <c r="C29" t="s">
        <v>23</v>
      </c>
      <c r="D29" t="s">
        <v>14</v>
      </c>
      <c r="E29" t="s">
        <v>15</v>
      </c>
      <c r="F29">
        <v>2</v>
      </c>
      <c r="G29">
        <v>2500</v>
      </c>
      <c r="H29">
        <v>5000</v>
      </c>
    </row>
    <row r="30" spans="1:8" x14ac:dyDescent="0.3">
      <c r="A30">
        <v>1029</v>
      </c>
      <c r="B30" s="1">
        <v>46103</v>
      </c>
      <c r="C30" t="s">
        <v>24</v>
      </c>
      <c r="D30" t="s">
        <v>17</v>
      </c>
      <c r="E30" t="s">
        <v>12</v>
      </c>
      <c r="F30">
        <v>4</v>
      </c>
      <c r="G30">
        <v>800</v>
      </c>
      <c r="H30">
        <v>3200</v>
      </c>
    </row>
    <row r="31" spans="1:8" x14ac:dyDescent="0.3">
      <c r="A31">
        <v>1030</v>
      </c>
      <c r="B31" s="1">
        <v>46106</v>
      </c>
      <c r="C31" t="s">
        <v>25</v>
      </c>
      <c r="D31" t="s">
        <v>21</v>
      </c>
      <c r="E31" t="s">
        <v>10</v>
      </c>
      <c r="F31">
        <v>2</v>
      </c>
      <c r="G31">
        <v>1800</v>
      </c>
      <c r="H31">
        <v>3600</v>
      </c>
    </row>
  </sheetData>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8A95D-5D9E-481A-AA04-A8CACDE9EE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Sheet2</vt:lpstr>
      <vt:lpstr>Sheet3</vt:lpstr>
      <vt:lpstr>Sheet4</vt:lpstr>
      <vt:lpstr>Sheet7</vt:lpstr>
      <vt:lpstr>Sheet1</vt:lpstr>
      <vt:lpstr>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gudiyadeepa4@gmail.com</dc:creator>
  <cp:lastModifiedBy>gudiyadeepa4@gmail.com</cp:lastModifiedBy>
  <dcterms:created xsi:type="dcterms:W3CDTF">2026-05-05T14:31:32Z</dcterms:created>
  <dcterms:modified xsi:type="dcterms:W3CDTF">2026-05-06T10:52:29Z</dcterms:modified>
</cp:coreProperties>
</file>